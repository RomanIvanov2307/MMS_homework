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мвидео\Desktop\МСС\homework2\"/>
    </mc:Choice>
  </mc:AlternateContent>
  <xr:revisionPtr revIDLastSave="0" documentId="13_ncr:1_{7676324E-F762-4ADD-8D92-904A2215472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явная схема" sheetId="2" r:id="rId1"/>
    <sheet name="неявная схема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1" l="1"/>
  <c r="I18" i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G18" i="1"/>
  <c r="C17" i="1"/>
  <c r="G16" i="1"/>
  <c r="G16" i="2"/>
  <c r="F13" i="2"/>
  <c r="G15" i="2"/>
  <c r="AI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G16" i="2"/>
  <c r="AC16" i="2"/>
  <c r="Y16" i="2"/>
  <c r="U16" i="2"/>
  <c r="Q16" i="2"/>
  <c r="M16" i="2"/>
  <c r="I16" i="2"/>
  <c r="F16" i="2"/>
  <c r="AJ13" i="2"/>
  <c r="AJ16" i="2" s="1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4" i="2"/>
  <c r="AF16" i="2" s="1"/>
  <c r="J16" i="2" l="1"/>
  <c r="N16" i="2"/>
  <c r="R16" i="2"/>
  <c r="V16" i="2"/>
  <c r="Z16" i="2"/>
  <c r="AD16" i="2"/>
  <c r="AH16" i="2"/>
  <c r="K16" i="2"/>
  <c r="O16" i="2"/>
  <c r="S16" i="2"/>
  <c r="W16" i="2"/>
  <c r="AA16" i="2"/>
  <c r="AE16" i="2"/>
  <c r="AI16" i="2"/>
  <c r="C5" i="2"/>
  <c r="H16" i="2"/>
  <c r="L16" i="2"/>
  <c r="P16" i="2"/>
  <c r="T16" i="2"/>
  <c r="X16" i="2"/>
  <c r="AB16" i="2"/>
  <c r="AJ15" i="1"/>
  <c r="F13" i="1"/>
  <c r="F20" i="1" s="1"/>
  <c r="F19" i="1"/>
  <c r="C5" i="1"/>
  <c r="G20" i="1"/>
  <c r="G19" i="1" s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C16" i="1"/>
  <c r="C15" i="1"/>
  <c r="AJ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H16" i="1"/>
  <c r="F16" i="1"/>
  <c r="AJ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H19" i="1" l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AI15" i="1" s="1"/>
  <c r="AH15" i="1" s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</calcChain>
</file>

<file path=xl/sharedStrings.xml><?xml version="1.0" encoding="utf-8"?>
<sst xmlns="http://schemas.openxmlformats.org/spreadsheetml/2006/main" count="32" uniqueCount="18">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</sst>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1" xfId="0" applyBorder="1"/>
    <xf numFmtId="164" fontId="0" fillId="0" borderId="0" xfId="0" applyNumberForma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88-4BDF-B241-1FB607ECA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822655"/>
        <c:axId val="1266821407"/>
      </c:scatterChart>
      <c:valAx>
        <c:axId val="1266822655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66821407"/>
        <c:crosses val="autoZero"/>
        <c:crossBetween val="midCat"/>
      </c:valAx>
      <c:valAx>
        <c:axId val="126682140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66822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 formatCode="0.000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E6-486B-B22D-E97FB0F71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822655"/>
        <c:axId val="1266821407"/>
      </c:scatterChart>
      <c:valAx>
        <c:axId val="1266822655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66821407"/>
        <c:crosses val="autoZero"/>
        <c:crossBetween val="midCat"/>
      </c:valAx>
      <c:valAx>
        <c:axId val="126682140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66822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7620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F3-495F-9169-0E1B0C28198D}"/>
            </c:ext>
          </c:extLst>
        </c:ser>
        <c:ser>
          <c:idx val="1"/>
          <c:order val="1"/>
          <c:tx>
            <c:v>Ряд2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 formatCode="0.000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F3-495F-9169-0E1B0C281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822655"/>
        <c:axId val="1266821407"/>
      </c:scatterChart>
      <c:valAx>
        <c:axId val="1266822655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66821407"/>
        <c:crosses val="autoZero"/>
        <c:crossBetween val="midCat"/>
      </c:valAx>
      <c:valAx>
        <c:axId val="126682140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66822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34962</xdr:colOff>
      <xdr:row>19</xdr:row>
      <xdr:rowOff>15240</xdr:rowOff>
    </xdr:from>
    <xdr:to>
      <xdr:col>11</xdr:col>
      <xdr:colOff>92112</xdr:colOff>
      <xdr:row>47</xdr:row>
      <xdr:rowOff>104775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6A6A1B0-6BC5-4A1C-8376-225942D232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29</xdr:row>
      <xdr:rowOff>19049</xdr:rowOff>
    </xdr:from>
    <xdr:to>
      <xdr:col>12</xdr:col>
      <xdr:colOff>257174</xdr:colOff>
      <xdr:row>57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52D5A94-A487-4BBB-AFA4-FB2E7E9E7B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47625</xdr:colOff>
      <xdr:row>29</xdr:row>
      <xdr:rowOff>66675</xdr:rowOff>
    </xdr:from>
    <xdr:ext cx="45890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9C45AA-1E59-4DB1-B98D-65BF2A08E28C}"/>
                </a:ext>
              </a:extLst>
            </xdr:cNvPr>
            <xdr:cNvSpPr txBox="1"/>
          </xdr:nvSpPr>
          <xdr:spPr>
            <a:xfrm>
              <a:off x="657225" y="5314950"/>
              <a:ext cx="458908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9C45AA-1E59-4DB1-B98D-65BF2A08E28C}"/>
                </a:ext>
              </a:extLst>
            </xdr:cNvPr>
            <xdr:cNvSpPr txBox="1"/>
          </xdr:nvSpPr>
          <xdr:spPr>
            <a:xfrm>
              <a:off x="657225" y="5314950"/>
              <a:ext cx="458908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11</xdr:col>
      <xdr:colOff>266700</xdr:colOff>
      <xdr:row>56</xdr:row>
      <xdr:rowOff>47625</xdr:rowOff>
    </xdr:from>
    <xdr:ext cx="434799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739C15C-8102-4F23-A66F-4975567C3993}"/>
                </a:ext>
              </a:extLst>
            </xdr:cNvPr>
            <xdr:cNvSpPr txBox="1"/>
          </xdr:nvSpPr>
          <xdr:spPr>
            <a:xfrm>
              <a:off x="6296025" y="10182225"/>
              <a:ext cx="434799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100" b="1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739C15C-8102-4F23-A66F-4975567C3993}"/>
                </a:ext>
              </a:extLst>
            </xdr:cNvPr>
            <xdr:cNvSpPr txBox="1"/>
          </xdr:nvSpPr>
          <xdr:spPr>
            <a:xfrm>
              <a:off x="6296025" y="10182225"/>
              <a:ext cx="434799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,[𝒎]</a:t>
              </a:r>
              <a:endParaRPr lang="ru-RU" sz="1100" b="1"/>
            </a:p>
          </xdr:txBody>
        </xdr:sp>
      </mc:Fallback>
    </mc:AlternateContent>
    <xdr:clientData/>
  </xdr:oneCellAnchor>
  <xdr:twoCellAnchor>
    <xdr:from>
      <xdr:col>14</xdr:col>
      <xdr:colOff>381000</xdr:colOff>
      <xdr:row>28</xdr:row>
      <xdr:rowOff>171450</xdr:rowOff>
    </xdr:from>
    <xdr:to>
      <xdr:col>27</xdr:col>
      <xdr:colOff>219075</xdr:colOff>
      <xdr:row>57</xdr:row>
      <xdr:rowOff>133351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EB2601B6-BFD8-4D44-9485-B9A097B38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14</xdr:col>
      <xdr:colOff>428625</xdr:colOff>
      <xdr:row>29</xdr:row>
      <xdr:rowOff>57150</xdr:rowOff>
    </xdr:from>
    <xdr:ext cx="45890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C81473C-9DEA-4B02-A9FA-3CB43BC04749}"/>
                </a:ext>
              </a:extLst>
            </xdr:cNvPr>
            <xdr:cNvSpPr txBox="1"/>
          </xdr:nvSpPr>
          <xdr:spPr>
            <a:xfrm>
              <a:off x="8229600" y="5305425"/>
              <a:ext cx="458908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C81473C-9DEA-4B02-A9FA-3CB43BC04749}"/>
                </a:ext>
              </a:extLst>
            </xdr:cNvPr>
            <xdr:cNvSpPr txBox="1"/>
          </xdr:nvSpPr>
          <xdr:spPr>
            <a:xfrm>
              <a:off x="8229600" y="5305425"/>
              <a:ext cx="458908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26</xdr:col>
      <xdr:colOff>257175</xdr:colOff>
      <xdr:row>56</xdr:row>
      <xdr:rowOff>19050</xdr:rowOff>
    </xdr:from>
    <xdr:ext cx="434799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765F68EC-6264-4E5C-9232-7B1C51DFA8D5}"/>
                </a:ext>
              </a:extLst>
            </xdr:cNvPr>
            <xdr:cNvSpPr txBox="1"/>
          </xdr:nvSpPr>
          <xdr:spPr>
            <a:xfrm>
              <a:off x="13887450" y="10153650"/>
              <a:ext cx="434799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100" b="1"/>
            </a:p>
          </xdr:txBody>
        </xdr:sp>
      </mc:Choice>
      <mc:Fallback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765F68EC-6264-4E5C-9232-7B1C51DFA8D5}"/>
                </a:ext>
              </a:extLst>
            </xdr:cNvPr>
            <xdr:cNvSpPr txBox="1"/>
          </xdr:nvSpPr>
          <xdr:spPr>
            <a:xfrm>
              <a:off x="13887450" y="10153650"/>
              <a:ext cx="434799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84;&#1074;&#1080;&#1076;&#1077;&#1086;/Desktop/&#1052;&#1057;&#1057;/homework1/homework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6.666666666666667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8191D-3FA4-4B21-8CD2-2A19A07BC327}">
  <sheetPr codeName="Лист2"/>
  <dimension ref="B3:AJ16"/>
  <sheetViews>
    <sheetView topLeftCell="A16" zoomScale="85" zoomScaleNormal="85" workbookViewId="0">
      <selection activeCell="G13" sqref="G13:AI13"/>
    </sheetView>
  </sheetViews>
  <sheetFormatPr defaultRowHeight="14.4" x14ac:dyDescent="0.3"/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4">
        <f>C3/30</f>
        <v>3.3333333333333335E-3</v>
      </c>
    </row>
    <row r="5" spans="2:36" x14ac:dyDescent="0.3">
      <c r="B5" s="2" t="s">
        <v>2</v>
      </c>
      <c r="C5" s="4">
        <f>(C9*C8*C4^2)/(2*C10)</f>
        <v>0.4333333333333334</v>
      </c>
    </row>
    <row r="6" spans="2:36" x14ac:dyDescent="0.3">
      <c r="B6" s="2" t="s">
        <v>3</v>
      </c>
      <c r="C6" s="2">
        <v>60</v>
      </c>
      <c r="D6">
        <v>60.233333333333341</v>
      </c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2">
        <v>300</v>
      </c>
      <c r="E12" s="8" t="s">
        <v>0</v>
      </c>
      <c r="F12" s="7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9</v>
      </c>
      <c r="C13" s="2">
        <v>100</v>
      </c>
      <c r="E13" s="8" t="s">
        <v>7</v>
      </c>
      <c r="F13" s="1">
        <f>C12</f>
        <v>300</v>
      </c>
      <c r="G13" s="1">
        <v>280.34602914679897</v>
      </c>
      <c r="H13" s="1">
        <v>260.69205829359794</v>
      </c>
      <c r="I13" s="1">
        <v>241.69187227593491</v>
      </c>
      <c r="J13" s="1">
        <v>222.69168625827183</v>
      </c>
      <c r="K13" s="1">
        <v>204.95390631913148</v>
      </c>
      <c r="L13" s="1">
        <v>187.21612637999107</v>
      </c>
      <c r="M13" s="1">
        <v>171.26453784334268</v>
      </c>
      <c r="N13" s="1">
        <v>155.31294930669429</v>
      </c>
      <c r="O13" s="1">
        <v>141.55671337374599</v>
      </c>
      <c r="P13" s="1">
        <v>127.80047744079765</v>
      </c>
      <c r="Q13" s="1">
        <v>116.51671674932982</v>
      </c>
      <c r="R13" s="1">
        <v>105.23295605786197</v>
      </c>
      <c r="S13" s="1">
        <v>96.561989352755049</v>
      </c>
      <c r="T13" s="1">
        <v>87.891022647648128</v>
      </c>
      <c r="U13" s="1">
        <v>81.842538774051832</v>
      </c>
      <c r="V13" s="1">
        <v>75.794054900455549</v>
      </c>
      <c r="W13" s="1">
        <v>72.261187114604226</v>
      </c>
      <c r="X13" s="1">
        <v>68.728319328752917</v>
      </c>
      <c r="Y13" s="1">
        <v>67.506108522455037</v>
      </c>
      <c r="Z13" s="1">
        <v>66.283897716157142</v>
      </c>
      <c r="AA13" s="1">
        <v>67.088962026000345</v>
      </c>
      <c r="AB13" s="1">
        <v>67.894026335843549</v>
      </c>
      <c r="AC13" s="1">
        <v>70.383127200086093</v>
      </c>
      <c r="AD13" s="1">
        <v>72.872228064328638</v>
      </c>
      <c r="AE13" s="1">
        <v>76.658491877071754</v>
      </c>
      <c r="AF13" s="1">
        <v>80.444755689814855</v>
      </c>
      <c r="AG13" s="1">
        <v>85.111263870845988</v>
      </c>
      <c r="AH13" s="1">
        <v>89.777772051877108</v>
      </c>
      <c r="AI13" s="1">
        <v>94.888886025938547</v>
      </c>
      <c r="AJ13" s="1">
        <f>C13</f>
        <v>100</v>
      </c>
    </row>
    <row r="15" spans="2:36" x14ac:dyDescent="0.3">
      <c r="E15" t="s">
        <v>10</v>
      </c>
      <c r="G15" s="5">
        <f>G13+(($C$10*$C$5)/($C$9*$C$8))*((H13-(2*G13)+F13)/($C$4^2))</f>
        <v>280.34602914679897</v>
      </c>
      <c r="H15" s="5">
        <f t="shared" ref="H15:AI15" si="1">H13+(($C$10*$C$5)/($C$9*$C$8))*((I13-(2*H13)+G13)/($C$4^2))</f>
        <v>261.01895071136693</v>
      </c>
      <c r="I15" s="5">
        <f t="shared" si="1"/>
        <v>241.69187227593488</v>
      </c>
      <c r="J15" s="5">
        <f t="shared" si="1"/>
        <v>223.32288929753321</v>
      </c>
      <c r="K15" s="5">
        <f t="shared" si="1"/>
        <v>204.95390631913145</v>
      </c>
      <c r="L15" s="5">
        <f t="shared" si="1"/>
        <v>188.10922208123708</v>
      </c>
      <c r="M15" s="5">
        <f t="shared" si="1"/>
        <v>171.26453784334268</v>
      </c>
      <c r="N15" s="5">
        <f t="shared" si="1"/>
        <v>156.41062560854434</v>
      </c>
      <c r="O15" s="5">
        <f t="shared" si="1"/>
        <v>141.55671337374596</v>
      </c>
      <c r="P15" s="5">
        <f t="shared" si="1"/>
        <v>129.0367150615379</v>
      </c>
      <c r="Q15" s="5">
        <f t="shared" si="1"/>
        <v>116.51671674932982</v>
      </c>
      <c r="R15" s="5">
        <f t="shared" si="1"/>
        <v>106.53935305104244</v>
      </c>
      <c r="S15" s="5">
        <f t="shared" si="1"/>
        <v>96.561989352755049</v>
      </c>
      <c r="T15" s="5">
        <f t="shared" si="1"/>
        <v>89.202264063403447</v>
      </c>
      <c r="U15" s="5">
        <f t="shared" si="1"/>
        <v>81.842538774051832</v>
      </c>
      <c r="V15" s="5">
        <f t="shared" si="1"/>
        <v>77.051862944328036</v>
      </c>
      <c r="W15" s="5">
        <f t="shared" si="1"/>
        <v>72.26118711460424</v>
      </c>
      <c r="X15" s="5">
        <f t="shared" si="1"/>
        <v>69.883647818529624</v>
      </c>
      <c r="Y15" s="5">
        <f t="shared" si="1"/>
        <v>67.506108522455037</v>
      </c>
      <c r="Z15" s="5">
        <f t="shared" si="1"/>
        <v>67.297535274227698</v>
      </c>
      <c r="AA15" s="5">
        <f t="shared" si="1"/>
        <v>67.088962026000345</v>
      </c>
      <c r="AB15" s="5">
        <f t="shared" si="1"/>
        <v>68.736044613043219</v>
      </c>
      <c r="AC15" s="5">
        <f t="shared" si="1"/>
        <v>70.383127200086093</v>
      </c>
      <c r="AD15" s="5">
        <f t="shared" si="1"/>
        <v>73.520809538578931</v>
      </c>
      <c r="AE15" s="5">
        <f t="shared" si="1"/>
        <v>76.658491877071754</v>
      </c>
      <c r="AF15" s="5">
        <f t="shared" si="1"/>
        <v>80.884877873958871</v>
      </c>
      <c r="AG15" s="5">
        <f t="shared" si="1"/>
        <v>85.111263870845988</v>
      </c>
      <c r="AH15" s="5">
        <f t="shared" si="1"/>
        <v>90.000074948392268</v>
      </c>
      <c r="AI15" s="5">
        <f t="shared" si="1"/>
        <v>94.888886025938547</v>
      </c>
    </row>
    <row r="16" spans="2:36" x14ac:dyDescent="0.3">
      <c r="E16" t="s">
        <v>11</v>
      </c>
      <c r="F16">
        <f>C12</f>
        <v>300</v>
      </c>
      <c r="G16">
        <f>-$C$10*((G13-F13)/$C$4)</f>
        <v>271224.79777417419</v>
      </c>
      <c r="H16">
        <f>-$C$10*((H13-G13)/$C$4)</f>
        <v>271224.79777417419</v>
      </c>
      <c r="I16">
        <f t="shared" ref="I16:AJ16" si="2">-$C$10*((I13-H13)/$C$4)</f>
        <v>262202.56704374973</v>
      </c>
      <c r="J16">
        <f t="shared" si="2"/>
        <v>262202.56704375055</v>
      </c>
      <c r="K16">
        <f t="shared" si="2"/>
        <v>244781.36316013685</v>
      </c>
      <c r="L16">
        <f t="shared" si="2"/>
        <v>244781.36316013764</v>
      </c>
      <c r="M16">
        <f t="shared" si="2"/>
        <v>220131.92180574776</v>
      </c>
      <c r="N16">
        <f t="shared" si="2"/>
        <v>220131.92180574776</v>
      </c>
      <c r="O16">
        <f t="shared" si="2"/>
        <v>189836.05587468654</v>
      </c>
      <c r="P16">
        <f t="shared" si="2"/>
        <v>189836.05587468712</v>
      </c>
      <c r="Q16">
        <f t="shared" si="2"/>
        <v>155715.89754225611</v>
      </c>
      <c r="R16">
        <f t="shared" si="2"/>
        <v>155715.89754225628</v>
      </c>
      <c r="S16">
        <f t="shared" si="2"/>
        <v>119659.34053047549</v>
      </c>
      <c r="T16">
        <f t="shared" si="2"/>
        <v>119659.34053047549</v>
      </c>
      <c r="U16">
        <f t="shared" si="2"/>
        <v>83469.077455628882</v>
      </c>
      <c r="V16">
        <f t="shared" si="2"/>
        <v>83469.077455628692</v>
      </c>
      <c r="W16">
        <f t="shared" si="2"/>
        <v>48753.575444748254</v>
      </c>
      <c r="X16">
        <f t="shared" si="2"/>
        <v>48753.575444748058</v>
      </c>
      <c r="Y16">
        <f t="shared" si="2"/>
        <v>16866.509126910751</v>
      </c>
      <c r="Z16">
        <f t="shared" si="2"/>
        <v>16866.509126910947</v>
      </c>
      <c r="AA16">
        <f t="shared" si="2"/>
        <v>-11109.887475836205</v>
      </c>
      <c r="AB16">
        <f t="shared" si="2"/>
        <v>-11109.887475836205</v>
      </c>
      <c r="AC16">
        <f t="shared" si="2"/>
        <v>-34349.591926547117</v>
      </c>
      <c r="AD16">
        <f t="shared" si="2"/>
        <v>-34349.591926547117</v>
      </c>
      <c r="AE16">
        <f t="shared" si="2"/>
        <v>-52250.44061585499</v>
      </c>
      <c r="AF16">
        <f t="shared" si="2"/>
        <v>-52250.440615854794</v>
      </c>
      <c r="AG16">
        <f t="shared" si="2"/>
        <v>-64397.81289822964</v>
      </c>
      <c r="AH16">
        <f t="shared" si="2"/>
        <v>-64397.812898229444</v>
      </c>
      <c r="AI16">
        <f t="shared" si="2"/>
        <v>-70533.372842047858</v>
      </c>
      <c r="AJ16">
        <f t="shared" si="2"/>
        <v>-70533.372842048047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20"/>
  <sheetViews>
    <sheetView tabSelected="1" zoomScale="80" zoomScaleNormal="80" workbookViewId="0">
      <selection activeCell="G13" sqref="G13:AI13"/>
    </sheetView>
  </sheetViews>
  <sheetFormatPr defaultRowHeight="14.4" x14ac:dyDescent="0.3"/>
  <cols>
    <col min="6" max="6" width="11.6640625" bestFit="1" customWidth="1"/>
    <col min="7" max="7" width="8" bestFit="1" customWidth="1"/>
    <col min="8" max="28" width="7.109375" bestFit="1" customWidth="1"/>
    <col min="29" max="35" width="6.44140625" bestFit="1" customWidth="1"/>
    <col min="36" max="36" width="8.664062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3">
        <f>C3/30</f>
        <v>3.3333333333333335E-3</v>
      </c>
    </row>
    <row r="5" spans="2:36" x14ac:dyDescent="0.3">
      <c r="B5" s="2" t="s">
        <v>2</v>
      </c>
      <c r="C5" s="4">
        <f>(C9*C8*C4^2)/(2*C10)</f>
        <v>0.4333333333333334</v>
      </c>
    </row>
    <row r="6" spans="2:36" x14ac:dyDescent="0.3">
      <c r="B6" s="2" t="s">
        <v>3</v>
      </c>
      <c r="C6" s="2">
        <v>60</v>
      </c>
      <c r="D6">
        <v>60.233333333333341</v>
      </c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2">
        <v>300</v>
      </c>
      <c r="E12" s="8" t="s">
        <v>0</v>
      </c>
      <c r="F12" s="7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9</v>
      </c>
      <c r="C13" s="2">
        <v>100</v>
      </c>
      <c r="E13" s="8" t="s">
        <v>7</v>
      </c>
      <c r="F13" s="9">
        <f>C12</f>
        <v>300</v>
      </c>
      <c r="G13" s="1">
        <v>280.20114262798575</v>
      </c>
      <c r="H13" s="1">
        <v>260.57053452366904</v>
      </c>
      <c r="I13" s="1">
        <v>241.27335396752636</v>
      </c>
      <c r="J13" s="1">
        <v>222.46874067679317</v>
      </c>
      <c r="K13" s="1">
        <v>204.30702925674697</v>
      </c>
      <c r="L13" s="1">
        <v>186.92727013670742</v>
      </c>
      <c r="M13" s="1">
        <v>170.45510875086381</v>
      </c>
      <c r="N13" s="1">
        <v>155.00107463428773</v>
      </c>
      <c r="O13" s="1">
        <v>140.65931099015722</v>
      </c>
      <c r="P13" s="1">
        <v>127.5067536180474</v>
      </c>
      <c r="Q13" s="1">
        <v>115.60274732960713</v>
      </c>
      <c r="R13" s="1">
        <v>104.98906943559072</v>
      </c>
      <c r="S13" s="1">
        <v>95.690314648076594</v>
      </c>
      <c r="T13" s="1">
        <v>87.714584570723446</v>
      </c>
      <c r="U13" s="1">
        <v>81.054418255410752</v>
      </c>
      <c r="V13" s="1">
        <v>75.68789812172092</v>
      </c>
      <c r="W13" s="1">
        <v>71.579867553261167</v>
      </c>
      <c r="X13" s="1">
        <v>68.68320209085141</v>
      </c>
      <c r="Y13" s="1">
        <v>66.940084503407604</v>
      </c>
      <c r="Z13" s="1">
        <v>66.283244166503039</v>
      </c>
      <c r="AA13" s="1">
        <v>66.637132112902975</v>
      </c>
      <c r="AB13" s="1">
        <v>67.919013891339318</v>
      </c>
      <c r="AC13" s="1">
        <v>70.039972168091296</v>
      </c>
      <c r="AD13" s="1">
        <v>72.905819217013814</v>
      </c>
      <c r="AE13" s="1">
        <v>76.417925689672472</v>
      </c>
      <c r="AF13" s="1">
        <v>80.473976208137344</v>
      </c>
      <c r="AG13" s="1">
        <v>84.968664482862408</v>
      </c>
      <c r="AH13" s="1">
        <v>89.794341128753075</v>
      </c>
      <c r="AI13" s="1">
        <v>94.841626578966242</v>
      </c>
      <c r="AJ13" s="1">
        <f>C13</f>
        <v>100</v>
      </c>
    </row>
    <row r="15" spans="2:36" x14ac:dyDescent="0.3">
      <c r="B15" s="6" t="s">
        <v>12</v>
      </c>
      <c r="C15">
        <f>C10/(C4^2)</f>
        <v>4139999.9999999991</v>
      </c>
      <c r="E15" t="s">
        <v>10</v>
      </c>
      <c r="G15" s="5">
        <f t="shared" ref="G15:AH15" si="1">G18*H15+G19</f>
        <v>280.28451209215399</v>
      </c>
      <c r="H15" s="5">
        <f t="shared" si="1"/>
        <v>260.73576311264441</v>
      </c>
      <c r="I15" s="5">
        <f t="shared" si="1"/>
        <v>241.51747131108542</v>
      </c>
      <c r="J15" s="5">
        <f t="shared" si="1"/>
        <v>222.78741419664442</v>
      </c>
      <c r="K15" s="5">
        <f t="shared" si="1"/>
        <v>204.69470412190589</v>
      </c>
      <c r="L15" s="5">
        <f t="shared" si="1"/>
        <v>187.37734377748521</v>
      </c>
      <c r="M15" s="5">
        <f t="shared" si="1"/>
        <v>170.96013071462008</v>
      </c>
      <c r="N15" s="5">
        <f t="shared" si="1"/>
        <v>155.55296157926747</v>
      </c>
      <c r="O15" s="5">
        <f t="shared" si="1"/>
        <v>141.24956633387433</v>
      </c>
      <c r="P15" s="5">
        <f t="shared" si="1"/>
        <v>128.12668177591533</v>
      </c>
      <c r="Q15" s="5">
        <f t="shared" si="1"/>
        <v>116.24365353369214</v>
      </c>
      <c r="R15" s="5">
        <f t="shared" si="1"/>
        <v>105.64243769963892</v>
      </c>
      <c r="S15" s="5">
        <f t="shared" si="1"/>
        <v>96.347958393682063</v>
      </c>
      <c r="T15" s="5">
        <f t="shared" si="1"/>
        <v>88.368766578936132</v>
      </c>
      <c r="U15" s="5">
        <f t="shared" si="1"/>
        <v>81.697938780615559</v>
      </c>
      <c r="V15" s="5">
        <f t="shared" si="1"/>
        <v>76.314152032704555</v>
      </c>
      <c r="W15" s="5">
        <f t="shared" si="1"/>
        <v>72.182873106760752</v>
      </c>
      <c r="X15" s="5">
        <f t="shared" si="1"/>
        <v>69.257605287816148</v>
      </c>
      <c r="Y15" s="5">
        <f t="shared" si="1"/>
        <v>67.481143862800991</v>
      </c>
      <c r="Z15" s="5">
        <f t="shared" si="1"/>
        <v>66.786801156572579</v>
      </c>
      <c r="AA15" s="5">
        <f t="shared" si="1"/>
        <v>67.099572430483207</v>
      </c>
      <c r="AB15" s="5">
        <f t="shared" si="1"/>
        <v>68.337224339554268</v>
      </c>
      <c r="AC15" s="5">
        <f t="shared" si="1"/>
        <v>70.411297145055215</v>
      </c>
      <c r="AD15" s="5">
        <f t="shared" si="1"/>
        <v>73.228019904484</v>
      </c>
      <c r="AE15" s="5">
        <f t="shared" si="1"/>
        <v>76.689144038853158</v>
      </c>
      <c r="AF15" s="5">
        <f t="shared" si="1"/>
        <v>80.692704871583686</v>
      </c>
      <c r="AG15" s="5">
        <f t="shared" si="1"/>
        <v>85.13372303120687</v>
      </c>
      <c r="AH15" s="5">
        <f t="shared" si="1"/>
        <v>89.904858287518977</v>
      </c>
      <c r="AI15" s="5">
        <f>AI18*AJ15+AI19</f>
        <v>94.897027861362858</v>
      </c>
      <c r="AJ15" s="5">
        <f>AJ13</f>
        <v>100</v>
      </c>
    </row>
    <row r="16" spans="2:36" x14ac:dyDescent="0.3">
      <c r="B16" s="6" t="s">
        <v>13</v>
      </c>
      <c r="C16">
        <f>(2*C10)/(C4^2)+(C9*C8)/C5</f>
        <v>16559999.999999996</v>
      </c>
      <c r="E16" t="s">
        <v>11</v>
      </c>
      <c r="F16" s="1">
        <f>C12</f>
        <v>300</v>
      </c>
      <c r="G16" s="1">
        <f>-$C$10*((G13-F13)/$C$4)</f>
        <v>273224.23173379671</v>
      </c>
      <c r="H16" s="1">
        <f>-$C$10*((H13-G13)/$C$4)</f>
        <v>270902.39183957054</v>
      </c>
      <c r="I16" s="1">
        <f t="shared" ref="I16:AJ16" si="2">-$C$10*((I13-H13)/$C$4)</f>
        <v>266301.09167476895</v>
      </c>
      <c r="J16" s="1">
        <f t="shared" si="2"/>
        <v>259503.66341211798</v>
      </c>
      <c r="K16" s="1">
        <f t="shared" si="2"/>
        <v>250631.61759663757</v>
      </c>
      <c r="L16" s="1">
        <f t="shared" si="2"/>
        <v>239840.6758565458</v>
      </c>
      <c r="M16" s="1">
        <f t="shared" si="2"/>
        <v>227315.82712464174</v>
      </c>
      <c r="N16" s="1">
        <f t="shared" si="2"/>
        <v>213265.67080874994</v>
      </c>
      <c r="O16" s="1">
        <f t="shared" si="2"/>
        <v>197916.33828900103</v>
      </c>
      <c r="P16" s="1">
        <f t="shared" si="2"/>
        <v>181505.29173511558</v>
      </c>
      <c r="Q16" s="1">
        <f t="shared" si="2"/>
        <v>164275.28678047573</v>
      </c>
      <c r="R16" s="1">
        <f t="shared" si="2"/>
        <v>146468.75493742639</v>
      </c>
      <c r="S16" s="1">
        <f t="shared" si="2"/>
        <v>128322.81606769495</v>
      </c>
      <c r="T16" s="1">
        <f t="shared" si="2"/>
        <v>110065.07506747343</v>
      </c>
      <c r="U16" s="1">
        <f t="shared" si="2"/>
        <v>91910.295151315164</v>
      </c>
      <c r="V16" s="1">
        <f t="shared" si="2"/>
        <v>74057.977844919675</v>
      </c>
      <c r="W16" s="1">
        <f t="shared" si="2"/>
        <v>56690.821844744598</v>
      </c>
      <c r="X16" s="1">
        <f t="shared" si="2"/>
        <v>39973.983381254649</v>
      </c>
      <c r="Y16" s="1">
        <f t="shared" si="2"/>
        <v>24055.022706724514</v>
      </c>
      <c r="Z16" s="1">
        <f t="shared" si="2"/>
        <v>9064.3966492830041</v>
      </c>
      <c r="AA16" s="1">
        <f t="shared" si="2"/>
        <v>-4883.6536603191234</v>
      </c>
      <c r="AB16" s="1">
        <f t="shared" si="2"/>
        <v>-17689.968542421535</v>
      </c>
      <c r="AC16" s="1">
        <f t="shared" si="2"/>
        <v>-29269.224219177289</v>
      </c>
      <c r="AD16" s="1">
        <f t="shared" si="2"/>
        <v>-39548.689275130746</v>
      </c>
      <c r="AE16" s="1">
        <f t="shared" si="2"/>
        <v>-48467.06932268948</v>
      </c>
      <c r="AF16" s="1">
        <f t="shared" si="2"/>
        <v>-55973.497154815232</v>
      </c>
      <c r="AG16" s="1">
        <f t="shared" si="2"/>
        <v>-62026.698191205876</v>
      </c>
      <c r="AH16" s="1">
        <f t="shared" si="2"/>
        <v>-66594.337713291199</v>
      </c>
      <c r="AI16" s="1">
        <f t="shared" si="2"/>
        <v>-69652.539212941701</v>
      </c>
      <c r="AJ16" s="1">
        <f t="shared" si="2"/>
        <v>-71185.553210265862</v>
      </c>
    </row>
    <row r="17" spans="2:36" x14ac:dyDescent="0.3">
      <c r="B17" s="6" t="s">
        <v>14</v>
      </c>
      <c r="C17">
        <f>C15</f>
        <v>4139999.9999999991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2:36" x14ac:dyDescent="0.3">
      <c r="E18" t="s">
        <v>15</v>
      </c>
      <c r="F18" s="1">
        <v>0</v>
      </c>
      <c r="G18" s="5">
        <f>$C$15/($C$16-$C$17*F18)</f>
        <v>0.25</v>
      </c>
      <c r="H18" s="5">
        <f t="shared" ref="H18:AI18" si="3">$C$15/($C$16-$C$17*G18)</f>
        <v>0.26666666666666666</v>
      </c>
      <c r="I18" s="5">
        <f t="shared" si="3"/>
        <v>0.26785714285714285</v>
      </c>
      <c r="J18" s="5">
        <f t="shared" si="3"/>
        <v>0.26794258373205743</v>
      </c>
      <c r="K18" s="5">
        <f t="shared" si="3"/>
        <v>0.26794871794871794</v>
      </c>
      <c r="L18" s="5">
        <f t="shared" si="3"/>
        <v>0.26794915836482308</v>
      </c>
      <c r="M18" s="5">
        <f t="shared" si="3"/>
        <v>0.26794918998527245</v>
      </c>
      <c r="N18" s="5">
        <f t="shared" si="3"/>
        <v>0.26794919225551855</v>
      </c>
      <c r="O18" s="5">
        <f t="shared" si="3"/>
        <v>0.26794919241851489</v>
      </c>
      <c r="P18" s="5">
        <f t="shared" si="3"/>
        <v>0.26794919243021753</v>
      </c>
      <c r="Q18" s="5">
        <f t="shared" si="3"/>
        <v>0.26794919243105775</v>
      </c>
      <c r="R18" s="5">
        <f t="shared" si="3"/>
        <v>0.26794919243111803</v>
      </c>
      <c r="S18" s="5">
        <f t="shared" si="3"/>
        <v>0.26794919243112236</v>
      </c>
      <c r="T18" s="5">
        <f t="shared" si="3"/>
        <v>0.2679491924311227</v>
      </c>
      <c r="U18" s="5">
        <f t="shared" si="3"/>
        <v>0.2679491924311227</v>
      </c>
      <c r="V18" s="5">
        <f t="shared" si="3"/>
        <v>0.2679491924311227</v>
      </c>
      <c r="W18" s="5">
        <f t="shared" si="3"/>
        <v>0.2679491924311227</v>
      </c>
      <c r="X18" s="5">
        <f t="shared" si="3"/>
        <v>0.2679491924311227</v>
      </c>
      <c r="Y18" s="5">
        <f t="shared" si="3"/>
        <v>0.2679491924311227</v>
      </c>
      <c r="Z18" s="5">
        <f t="shared" si="3"/>
        <v>0.2679491924311227</v>
      </c>
      <c r="AA18" s="5">
        <f t="shared" si="3"/>
        <v>0.2679491924311227</v>
      </c>
      <c r="AB18" s="5">
        <f t="shared" si="3"/>
        <v>0.2679491924311227</v>
      </c>
      <c r="AC18" s="5">
        <f t="shared" si="3"/>
        <v>0.2679491924311227</v>
      </c>
      <c r="AD18" s="5">
        <f t="shared" si="3"/>
        <v>0.2679491924311227</v>
      </c>
      <c r="AE18" s="5">
        <f t="shared" si="3"/>
        <v>0.2679491924311227</v>
      </c>
      <c r="AF18" s="5">
        <f t="shared" si="3"/>
        <v>0.2679491924311227</v>
      </c>
      <c r="AG18" s="5">
        <f t="shared" si="3"/>
        <v>0.2679491924311227</v>
      </c>
      <c r="AH18" s="5">
        <f t="shared" si="3"/>
        <v>0.2679491924311227</v>
      </c>
      <c r="AI18" s="5">
        <f t="shared" si="3"/>
        <v>0.2679491924311227</v>
      </c>
      <c r="AJ18" s="1"/>
    </row>
    <row r="19" spans="2:36" x14ac:dyDescent="0.3">
      <c r="E19" t="s">
        <v>16</v>
      </c>
      <c r="F19" s="9">
        <f>F13</f>
        <v>300</v>
      </c>
      <c r="G19" s="5">
        <f t="shared" ref="G19:AH19" si="4">(F19*$C$17-G20)/($C$16-$C$17*F18)</f>
        <v>215.1005713139929</v>
      </c>
      <c r="H19" s="5">
        <f t="shared" si="4"/>
        <v>196.33110409635498</v>
      </c>
      <c r="I19" s="5">
        <f t="shared" si="4"/>
        <v>181.84227107984137</v>
      </c>
      <c r="J19" s="5">
        <f t="shared" si="4"/>
        <v>167.94098629795192</v>
      </c>
      <c r="K19" s="5">
        <f t="shared" si="4"/>
        <v>154.48718508409254</v>
      </c>
      <c r="L19" s="5">
        <f t="shared" si="4"/>
        <v>141.56872063856261</v>
      </c>
      <c r="M19" s="5">
        <f t="shared" si="4"/>
        <v>129.27984065964515</v>
      </c>
      <c r="N19" s="5">
        <f t="shared" si="4"/>
        <v>117.70525437366356</v>
      </c>
      <c r="O19" s="5">
        <f t="shared" si="4"/>
        <v>106.91812542475377</v>
      </c>
      <c r="P19" s="5">
        <f t="shared" si="4"/>
        <v>96.979288686424511</v>
      </c>
      <c r="Q19" s="5">
        <f t="shared" si="4"/>
        <v>87.936847665625564</v>
      </c>
      <c r="R19" s="5">
        <f t="shared" si="4"/>
        <v>79.826080055664846</v>
      </c>
      <c r="S19" s="5">
        <f t="shared" si="4"/>
        <v>72.669618752721775</v>
      </c>
      <c r="T19" s="5">
        <f t="shared" si="4"/>
        <v>66.477869859382892</v>
      </c>
      <c r="U19" s="5">
        <f t="shared" si="4"/>
        <v>61.249623372386452</v>
      </c>
      <c r="V19" s="5">
        <f t="shared" si="4"/>
        <v>56.972809476389799</v>
      </c>
      <c r="W19" s="5">
        <f t="shared" si="4"/>
        <v>53.625353700176966</v>
      </c>
      <c r="X19" s="5">
        <f t="shared" si="4"/>
        <v>51.176087285450215</v>
      </c>
      <c r="Y19" s="5">
        <f t="shared" si="4"/>
        <v>49.585674427839393</v>
      </c>
      <c r="Z19" s="5">
        <f t="shared" si="4"/>
        <v>48.807524911350974</v>
      </c>
      <c r="AA19" s="5">
        <f t="shared" si="4"/>
        <v>48.788668355715174</v>
      </c>
      <c r="AB19" s="5">
        <f t="shared" si="4"/>
        <v>49.470574131508911</v>
      </c>
      <c r="AC19" s="5">
        <f t="shared" si="4"/>
        <v>50.789908348318555</v>
      </c>
      <c r="AD19" s="5">
        <f t="shared" si="4"/>
        <v>52.679225691039257</v>
      </c>
      <c r="AE19" s="5">
        <f t="shared" si="4"/>
        <v>55.067598933429394</v>
      </c>
      <c r="AF19" s="5">
        <f t="shared" si="4"/>
        <v>57.881192536716931</v>
      </c>
      <c r="AG19" s="5">
        <f t="shared" si="4"/>
        <v>61.043788857431636</v>
      </c>
      <c r="AH19" s="5">
        <f t="shared" si="4"/>
        <v>64.477276307953048</v>
      </c>
      <c r="AI19" s="5">
        <f>(AH19*$C$17-AI20)/($C$16-$C$17*AH18)</f>
        <v>68.102108618250597</v>
      </c>
      <c r="AJ19" s="5"/>
    </row>
    <row r="20" spans="2:36" x14ac:dyDescent="0.3">
      <c r="E20" t="s">
        <v>17</v>
      </c>
      <c r="F20" s="1">
        <f>-(($C$9*$C$8)/$C$5)*F13</f>
        <v>-2483999999.9999995</v>
      </c>
      <c r="G20" s="1">
        <f t="shared" ref="G20:AJ20" si="5">-(($C$9*$C$8)/$C$5)*G13</f>
        <v>-2320065460.9597216</v>
      </c>
      <c r="H20" s="1">
        <f t="shared" si="5"/>
        <v>-2157524025.8559794</v>
      </c>
      <c r="I20" s="1">
        <f t="shared" si="5"/>
        <v>-1997743370.8511181</v>
      </c>
      <c r="J20" s="1">
        <f t="shared" si="5"/>
        <v>-1842041172.8038473</v>
      </c>
      <c r="K20" s="1">
        <f t="shared" si="5"/>
        <v>-1691662202.2458646</v>
      </c>
      <c r="L20" s="1">
        <f t="shared" si="5"/>
        <v>-1547757796.7319372</v>
      </c>
      <c r="M20" s="1">
        <f t="shared" si="5"/>
        <v>-1411368300.4571521</v>
      </c>
      <c r="N20" s="1">
        <f t="shared" si="5"/>
        <v>-1283408897.9719024</v>
      </c>
      <c r="O20" s="1">
        <f t="shared" si="5"/>
        <v>-1164659094.9985018</v>
      </c>
      <c r="P20" s="1">
        <f t="shared" si="5"/>
        <v>-1055755919.9574324</v>
      </c>
      <c r="Q20" s="1">
        <f t="shared" si="5"/>
        <v>-957190747.88914692</v>
      </c>
      <c r="R20" s="1">
        <f t="shared" si="5"/>
        <v>-869309494.92669106</v>
      </c>
      <c r="S20" s="1">
        <f t="shared" si="5"/>
        <v>-792315805.28607416</v>
      </c>
      <c r="T20" s="1">
        <f t="shared" si="5"/>
        <v>-726276760.24559009</v>
      </c>
      <c r="U20" s="1">
        <f t="shared" si="5"/>
        <v>-671130583.15480101</v>
      </c>
      <c r="V20" s="1">
        <f t="shared" si="5"/>
        <v>-626695796.44784915</v>
      </c>
      <c r="W20" s="1">
        <f t="shared" si="5"/>
        <v>-592681303.34100235</v>
      </c>
      <c r="X20" s="1">
        <f t="shared" si="5"/>
        <v>-568696913.31224966</v>
      </c>
      <c r="Y20" s="1">
        <f t="shared" si="5"/>
        <v>-554263899.6882149</v>
      </c>
      <c r="Z20" s="1">
        <f t="shared" si="5"/>
        <v>-548825261.69864511</v>
      </c>
      <c r="AA20" s="1">
        <f t="shared" si="5"/>
        <v>-551755453.89483654</v>
      </c>
      <c r="AB20" s="1">
        <f t="shared" si="5"/>
        <v>-562369435.02028954</v>
      </c>
      <c r="AC20" s="1">
        <f t="shared" si="5"/>
        <v>-579930969.55179584</v>
      </c>
      <c r="AD20" s="1">
        <f t="shared" si="5"/>
        <v>-603660183.11687434</v>
      </c>
      <c r="AE20" s="1">
        <f t="shared" si="5"/>
        <v>-632740424.71048796</v>
      </c>
      <c r="AF20" s="1">
        <f t="shared" si="5"/>
        <v>-666324523.00337708</v>
      </c>
      <c r="AG20" s="1">
        <f t="shared" si="5"/>
        <v>-703540541.91810071</v>
      </c>
      <c r="AH20" s="1">
        <f t="shared" si="5"/>
        <v>-743497144.54607534</v>
      </c>
      <c r="AI20" s="1">
        <f t="shared" si="5"/>
        <v>-785288668.07384038</v>
      </c>
      <c r="AJ20" s="1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мвидео</cp:lastModifiedBy>
  <dcterms:created xsi:type="dcterms:W3CDTF">2015-06-05T18:19:34Z</dcterms:created>
  <dcterms:modified xsi:type="dcterms:W3CDTF">2021-10-25T20:31:28Z</dcterms:modified>
</cp:coreProperties>
</file>