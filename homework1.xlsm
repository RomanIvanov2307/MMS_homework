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видео\Desktop\МСС\"/>
    </mc:Choice>
  </mc:AlternateContent>
  <xr:revisionPtr revIDLastSave="0" documentId="13_ncr:1_{2FBDD94B-406B-4A14-8EE8-97489BCEA24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6" i="1"/>
  <c r="F13" i="1"/>
  <c r="F16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AJ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G15" i="1" l="1"/>
  <c r="G16" i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<sst xmlns="http://schemas.openxmlformats.org/spreadsheetml/2006/main" count="13" uniqueCount="12">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</sst>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"/>
    <numFmt numFmtId="166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E6-486B-B22D-E97FB0F71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822655"/>
        <c:axId val="1266821407"/>
      </c:scatterChart>
      <c:valAx>
        <c:axId val="1266822655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6821407"/>
        <c:crosses val="autoZero"/>
        <c:crossBetween val="midCat"/>
      </c:valAx>
      <c:valAx>
        <c:axId val="126682140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6822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152399</xdr:colOff>
      <xdr:row>18</xdr:row>
      <xdr:rowOff>104774</xdr:rowOff>
    </xdr:from>
    <xdr:to>
      <xdr:col>14</xdr:col>
      <xdr:colOff>38099</xdr:colOff>
      <xdr:row>47</xdr:row>
      <xdr:rowOff>66675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52D5A94-A487-4BBB-AFA4-FB2E7E9E7B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190500</xdr:colOff>
      <xdr:row>18</xdr:row>
      <xdr:rowOff>152400</xdr:rowOff>
    </xdr:from>
    <xdr:ext cx="45890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9C45AA-1E59-4DB1-B98D-65BF2A08E28C}"/>
                </a:ext>
              </a:extLst>
            </xdr:cNvPr>
            <xdr:cNvSpPr txBox="1"/>
          </xdr:nvSpPr>
          <xdr:spPr>
            <a:xfrm>
              <a:off x="1409700" y="3409950"/>
              <a:ext cx="458908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9C45AA-1E59-4DB1-B98D-65BF2A08E28C}"/>
                </a:ext>
              </a:extLst>
            </xdr:cNvPr>
            <xdr:cNvSpPr txBox="1"/>
          </xdr:nvSpPr>
          <xdr:spPr>
            <a:xfrm>
              <a:off x="1409700" y="3409950"/>
              <a:ext cx="458908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13</xdr:col>
      <xdr:colOff>38100</xdr:colOff>
      <xdr:row>45</xdr:row>
      <xdr:rowOff>123825</xdr:rowOff>
    </xdr:from>
    <xdr:ext cx="434799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739C15C-8102-4F23-A66F-4975567C3993}"/>
                </a:ext>
              </a:extLst>
            </xdr:cNvPr>
            <xdr:cNvSpPr txBox="1"/>
          </xdr:nvSpPr>
          <xdr:spPr>
            <a:xfrm>
              <a:off x="6972300" y="8267700"/>
              <a:ext cx="434799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739C15C-8102-4F23-A66F-4975567C3993}"/>
                </a:ext>
              </a:extLst>
            </xdr:cNvPr>
            <xdr:cNvSpPr txBox="1"/>
          </xdr:nvSpPr>
          <xdr:spPr>
            <a:xfrm>
              <a:off x="6972300" y="8267700"/>
              <a:ext cx="434799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6"/>
  <sheetViews>
    <sheetView tabSelected="1" zoomScale="80" zoomScaleNormal="80" workbookViewId="0">
      <selection activeCell="F3" sqref="F3"/>
    </sheetView>
  </sheetViews>
  <sheetFormatPr defaultRowHeight="14.4" x14ac:dyDescent="0.3"/>
  <cols>
    <col min="6" max="6" width="7.109375" bestFit="1" customWidth="1"/>
    <col min="7" max="7" width="8" bestFit="1" customWidth="1"/>
    <col min="8" max="28" width="7.109375" bestFit="1" customWidth="1"/>
    <col min="29" max="35" width="6.44140625" bestFit="1" customWidth="1"/>
    <col min="36" max="36" width="8.66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5000</v>
      </c>
      <c r="D6">
        <v>5000.2333333333345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 s="1">
        <f>(F16/C10)*C4+G13</f>
        <v>299.99997763108735</v>
      </c>
      <c r="G13" s="1">
        <v>293.33331096442066</v>
      </c>
      <c r="H13" s="1">
        <v>286.6666443611611</v>
      </c>
      <c r="I13" s="1">
        <v>279.99997782112894</v>
      </c>
      <c r="J13" s="1">
        <v>273.33331134396514</v>
      </c>
      <c r="K13" s="1">
        <v>266.66664492913264</v>
      </c>
      <c r="L13" s="1">
        <v>259.99997857591751</v>
      </c>
      <c r="M13" s="1">
        <v>253.3333122834313</v>
      </c>
      <c r="N13" s="1">
        <v>246.66664605061328</v>
      </c>
      <c r="O13" s="1">
        <v>239.99997987623377</v>
      </c>
      <c r="P13" s="1">
        <v>233.33331375889719</v>
      </c>
      <c r="Q13" s="1">
        <v>226.66664769704656</v>
      </c>
      <c r="R13" s="1">
        <v>219.9999816889673</v>
      </c>
      <c r="S13" s="1">
        <v>213.33331573279273</v>
      </c>
      <c r="T13" s="1">
        <v>206.66664982650872</v>
      </c>
      <c r="U13" s="1">
        <v>199.99998396796005</v>
      </c>
      <c r="V13" s="1">
        <v>193.33331815485587</v>
      </c>
      <c r="W13" s="1">
        <v>186.6666523847768</v>
      </c>
      <c r="X13" s="1">
        <v>179.99998665518126</v>
      </c>
      <c r="Y13" s="1">
        <v>173.33332096341309</v>
      </c>
      <c r="Z13" s="1">
        <v>166.66665530670878</v>
      </c>
      <c r="AA13" s="1">
        <v>159.9999896822055</v>
      </c>
      <c r="AB13" s="1">
        <v>153.33332408694912</v>
      </c>
      <c r="AC13" s="1">
        <v>146.66665851790265</v>
      </c>
      <c r="AD13" s="1">
        <v>139.99999297195473</v>
      </c>
      <c r="AE13" s="1">
        <v>133.33332744592857</v>
      </c>
      <c r="AF13" s="1">
        <v>126.66666193659087</v>
      </c>
      <c r="AG13" s="1">
        <v>119.99999644066111</v>
      </c>
      <c r="AH13" s="1">
        <v>113.3333309548207</v>
      </c>
      <c r="AI13" s="1">
        <v>106.66666547572241</v>
      </c>
      <c r="AJ13" s="1">
        <f>C13</f>
        <v>100</v>
      </c>
    </row>
    <row r="15" spans="2:36" x14ac:dyDescent="0.3">
      <c r="E15" t="s">
        <v>10</v>
      </c>
      <c r="G15" s="5">
        <f>G13+(($C$10*$C$5)/($C$9*$C$8))*((H13-2*G13+F13)/($C$4^2))</f>
        <v>293.33331099612423</v>
      </c>
      <c r="H15" s="1">
        <f t="shared" ref="H15:AI15" si="1">H13+(($C$10*$C$5)/($C$9*$C$8))*((I13-2*H13+G13)/($C$4^2))</f>
        <v>286.6666443927748</v>
      </c>
      <c r="I15" s="1">
        <f t="shared" si="1"/>
        <v>279.99997785256312</v>
      </c>
      <c r="J15" s="1">
        <f t="shared" si="1"/>
        <v>273.33331137513079</v>
      </c>
      <c r="K15" s="1">
        <f t="shared" si="1"/>
        <v>266.66664495994132</v>
      </c>
      <c r="L15" s="1">
        <f t="shared" si="1"/>
        <v>259.99997860628196</v>
      </c>
      <c r="M15" s="1">
        <f t="shared" si="1"/>
        <v>253.3333123132654</v>
      </c>
      <c r="N15" s="1">
        <f t="shared" si="1"/>
        <v>246.66664607983253</v>
      </c>
      <c r="O15" s="1">
        <f t="shared" si="1"/>
        <v>239.99997990475524</v>
      </c>
      <c r="P15" s="1">
        <f t="shared" si="1"/>
        <v>233.33331378664016</v>
      </c>
      <c r="Q15" s="1">
        <f t="shared" si="1"/>
        <v>226.66664772393224</v>
      </c>
      <c r="R15" s="1">
        <f t="shared" si="1"/>
        <v>219.99998171491964</v>
      </c>
      <c r="S15" s="1">
        <f t="shared" si="1"/>
        <v>213.33331575773801</v>
      </c>
      <c r="T15" s="1">
        <f t="shared" si="1"/>
        <v>206.66664985037639</v>
      </c>
      <c r="U15" s="1">
        <f t="shared" si="1"/>
        <v>199.9999839906823</v>
      </c>
      <c r="V15" s="1">
        <f t="shared" si="1"/>
        <v>193.33331817636844</v>
      </c>
      <c r="W15" s="1">
        <f t="shared" si="1"/>
        <v>186.66665240501857</v>
      </c>
      <c r="X15" s="1">
        <f t="shared" si="1"/>
        <v>179.99998667409494</v>
      </c>
      <c r="Y15" s="1">
        <f t="shared" si="1"/>
        <v>173.33332098094502</v>
      </c>
      <c r="Z15" s="1">
        <f t="shared" si="1"/>
        <v>166.66665532280928</v>
      </c>
      <c r="AA15" s="1">
        <f t="shared" si="1"/>
        <v>159.99998969682895</v>
      </c>
      <c r="AB15" s="1">
        <f t="shared" si="1"/>
        <v>153.33332410005409</v>
      </c>
      <c r="AC15" s="1">
        <f t="shared" si="1"/>
        <v>146.66665852945192</v>
      </c>
      <c r="AD15" s="1">
        <f t="shared" si="1"/>
        <v>139.99999298191563</v>
      </c>
      <c r="AE15" s="1">
        <f t="shared" si="1"/>
        <v>133.33332745427279</v>
      </c>
      <c r="AF15" s="1">
        <f t="shared" si="1"/>
        <v>126.66666194329484</v>
      </c>
      <c r="AG15" s="1">
        <f t="shared" si="1"/>
        <v>119.99999644570579</v>
      </c>
      <c r="AH15" s="1">
        <f t="shared" si="1"/>
        <v>113.33333095819177</v>
      </c>
      <c r="AI15" s="1">
        <f t="shared" si="1"/>
        <v>106.66666547741035</v>
      </c>
    </row>
    <row r="16" spans="2:36" x14ac:dyDescent="0.3">
      <c r="E16" t="s">
        <v>11</v>
      </c>
      <c r="F16">
        <f>C12</f>
        <v>92000</v>
      </c>
      <c r="G16">
        <f>-$C$10*((G13-F13)/$C$4)</f>
        <v>92000.000000000247</v>
      </c>
      <c r="H16">
        <f>-$C$10*((H13-G13)/$C$4)</f>
        <v>91999.999124981885</v>
      </c>
      <c r="I16">
        <f t="shared" ref="I16:AJ16" si="2">-$C$10*((I13-H13)/$C$4)</f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  <c r="AJ16">
        <f t="shared" si="2"/>
        <v>91999.983564969269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мвидео</cp:lastModifiedBy>
  <dcterms:created xsi:type="dcterms:W3CDTF">2015-06-05T18:19:34Z</dcterms:created>
  <dcterms:modified xsi:type="dcterms:W3CDTF">2021-10-25T14:25:24Z</dcterms:modified>
</cp:coreProperties>
</file>